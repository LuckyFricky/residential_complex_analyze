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<sst xmlns="http://schemas.openxmlformats.org/spreadsheetml/2006/main" count="32" uniqueCount="32">
  <si>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Количество жилых помещений</t>
  </si>
  <si>
    <t xml:space="preserve">Количество студий</t>
  </si>
  <si>
    <t xml:space="preserve">Количество однокомнатных квартир</t>
  </si>
  <si>
    <t xml:space="preserve">Количество двухкомнатных квартир</t>
  </si>
  <si>
    <t xml:space="preserve">Количество трехкомнатных квартир</t>
  </si>
  <si>
    <t xml:space="preserve">Количество 4 и 4+ комнатных квартир</t>
  </si>
  <si>
    <t xml:space="preserve">Среднее количество квартир на этаже</t>
  </si>
  <si>
    <t xml:space="preserve">Количество нежилых помещений</t>
  </si>
  <si>
    <t xml:space="preserve">Количество машино-мест в паркинге</t>
  </si>
  <si>
    <t xml:space="preserve">Количество гостевых машиномест на придомовой территории</t>
  </si>
  <si>
    <t xml:space="preserve">Количество гостевых машиномест вне придомовой территории</t>
  </si>
  <si>
    <t xml:space="preserve">Обеспеченность машиноместами</t>
  </si>
  <si>
    <t xml:space="preserve">Количество иных нежилых помещений</t>
  </si>
  <si>
    <t xml:space="preserve">Жилая площадь, м2</t>
  </si>
  <si>
    <t xml:space="preserve">Средняя общая площадь, м2</t>
  </si>
  <si>
    <t xml:space="preserve">Минимальная высота потолков</t>
  </si>
  <si>
    <t xml:space="preserve">Максимальная высота потолков</t>
  </si>
  <si>
    <t xml:space="preserve">Минимальное количество этажей</t>
  </si>
  <si>
    <t xml:space="preserve">Максимальное количество этажей</t>
  </si>
  <si>
    <t xml:space="preserve">Количество лифтов</t>
  </si>
  <si>
    <t xml:space="preserve">Количество подъездов</t>
  </si>
  <si>
    <t xml:space="preserve">Количество лифтов на подъезд</t>
  </si>
  <si>
    <t xml:space="preserve">Количество детских площадок</t>
  </si>
  <si>
    <t xml:space="preserve">Количество спортивных площадок</t>
  </si>
  <si>
    <t xml:space="preserve">Наличие велосипедных дорожек</t>
  </si>
  <si>
    <t xml:space="preserve">Наличие тротуаров</t>
  </si>
  <si>
    <t xml:space="preserve">Площадки для мусорных контейнеров</t>
  </si>
  <si>
    <t xml:space="preserve">Наличие понижающих площадок</t>
  </si>
  <si>
    <t xml:space="preserve">Наличие пандуса</t>
  </si>
  <si>
    <t xml:space="preserve">Количество инвалидных подъемников</t>
  </si>
  <si>
    <t xml:space="preserve">Ширина</t>
  </si>
  <si>
    <t xml:space="preserve">Долгота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</si>
</sst>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AE2" activeCellId="0" sqref="AE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3.85"/>
    <col collapsed="false" customWidth="true" hidden="false" outlineLevel="0" max="2" min="2" style="1" width="11.3"/>
    <col collapsed="false" customWidth="true" hidden="false" outlineLevel="0" max="3" min="3" style="1" width="14.45"/>
    <col collapsed="false" customWidth="true" hidden="false" outlineLevel="0" max="4" min="4" style="0" width="14.35"/>
    <col collapsed="false" customWidth="true" hidden="false" outlineLevel="0" max="5" min="5" style="0" width="13.62"/>
    <col collapsed="false" customWidth="true" hidden="false" outlineLevel="0" max="12" min="10" style="0" width="13.85"/>
    <col collapsed="false" customWidth="true" hidden="false" outlineLevel="0" max="16" min="16" style="0" width="12.15"/>
    <col collapsed="false" customWidth="true" hidden="false" outlineLevel="0" max="17" min="17" style="0" width="13.85"/>
  </cols>
  <sheetData>
    <row r="1" customFormat="false" ht="7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1" t="n">
        <v>604</v>
      </c>
      <c r="B2" s="1" t="n">
        <v>0</v>
      </c>
      <c r="C2" s="1" t="n">
        <v>365</v>
      </c>
      <c r="D2" s="0" t="n">
        <v>202</v>
      </c>
      <c r="E2" s="0" t="n">
        <v>35</v>
      </c>
      <c r="F2" s="0" t="n">
        <v>2</v>
      </c>
      <c r="G2" s="0" t="n">
        <v>8</v>
      </c>
      <c r="H2" s="0" t="n">
        <v>296</v>
      </c>
      <c r="I2" s="0" t="n">
        <v>173</v>
      </c>
      <c r="J2" s="0" t="n">
        <v>25</v>
      </c>
      <c r="K2" s="0" t="n">
        <v>0</v>
      </c>
      <c r="L2" s="4" t="n">
        <f aca="false">(I2+J2+K2)/A2</f>
        <v>0.327814569536424</v>
      </c>
      <c r="M2" s="0" t="n">
        <f aca="false">H2-I2</f>
        <v>123</v>
      </c>
      <c r="N2" s="0" t="n">
        <v>26780</v>
      </c>
      <c r="O2" s="0" t="n">
        <v>44.5</v>
      </c>
      <c r="P2" s="0" t="n">
        <v>2.76</v>
      </c>
      <c r="Q2" s="0" t="n">
        <v>3.06</v>
      </c>
      <c r="R2" s="0" t="n">
        <v>30</v>
      </c>
      <c r="S2" s="1" t="n">
        <v>30</v>
      </c>
      <c r="T2" s="0" t="n">
        <v>12</v>
      </c>
      <c r="U2" s="0" t="n">
        <v>5</v>
      </c>
      <c r="V2" s="1" t="n">
        <f aca="false">T2/U2</f>
        <v>2.4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55.645674</v>
      </c>
      <c r="AF2" s="5" t="n">
        <v>37.641503</v>
      </c>
    </row>
    <row r="4" customFormat="false" ht="12.8" hidden="false" customHeight="false" outlineLevel="0" collapsed="false">
      <c r="L4" s="6"/>
    </row>
    <row r="5" customFormat="false" ht="12.8" hidden="false" customHeight="false" outlineLevel="0" collapsed="false">
      <c r="H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LibreOffice/7.3.7.2$MacOSX_X86_64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2025-11-01T14:58:42Z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