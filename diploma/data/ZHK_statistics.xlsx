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<sst xmlns="http://schemas.openxmlformats.org/spreadsheetml/2006/main" count="40" uniqueCount="40">
  <si>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name</t>
  </si>
  <si>
    <t xml:space="preserve">all_amount</t>
  </si>
  <si>
    <t xml:space="preserve">studio_amount</t>
  </si>
  <si>
    <t xml:space="preserve">1_room_amount</t>
  </si>
  <si>
    <t xml:space="preserve">2_room_amount</t>
  </si>
  <si>
    <t xml:space="preserve">3_room_amount</t>
  </si>
  <si>
    <t xml:space="preserve">4+_room_amount</t>
  </si>
  <si>
    <t xml:space="preserve">avg_flats_on_floor</t>
  </si>
  <si>
    <t xml:space="preserve">not_living_amount</t>
  </si>
  <si>
    <t xml:space="preserve">places_for_cars_in_parking</t>
  </si>
  <si>
    <t xml:space="preserve">guest_places_for_cars_on_territory</t>
  </si>
  <si>
    <t xml:space="preserve">guest_places_for_cars_near_territory</t>
  </si>
  <si>
    <t xml:space="preserve">percent_of_parking</t>
  </si>
  <si>
    <t xml:space="preserve">amount_other_not_living</t>
  </si>
  <si>
    <t xml:space="preserve">living_area_m2</t>
  </si>
  <si>
    <t xml:space="preserve">avg_living_area_m2</t>
  </si>
  <si>
    <t xml:space="preserve">min_ceiling_height</t>
  </si>
  <si>
    <t xml:space="preserve">max_ceiling_height</t>
  </si>
  <si>
    <t xml:space="preserve">min_floors</t>
  </si>
  <si>
    <t xml:space="preserve">max_floors</t>
  </si>
  <si>
    <t xml:space="preserve">elevators_amount</t>
  </si>
  <si>
    <t xml:space="preserve">entrances_amount</t>
  </si>
  <si>
    <t xml:space="preserve">elevators_on_entracne</t>
  </si>
  <si>
    <t xml:space="preserve">children_playing_zone_amount</t>
  </si>
  <si>
    <t xml:space="preserve">sports_amount</t>
  </si>
  <si>
    <t xml:space="preserve">bicycle_is</t>
  </si>
  <si>
    <t xml:space="preserve">sidewalk_amount</t>
  </si>
  <si>
    <t xml:space="preserve">garbage_area_amount</t>
  </si>
  <si>
    <t xml:space="preserve">step_down_platforms_is</t>
  </si>
  <si>
    <t xml:space="preserve">is_pandus</t>
  </si>
  <si>
    <t xml:space="preserve">wheelchair_lift_amount</t>
  </si>
  <si>
    <t xml:space="preserve">latitude</t>
  </si>
  <si>
    <t xml:space="preserve">longitude</t>
  </si>
  <si>
    <t xml:space="preserve">Prime Park</t>
  </si>
  <si>
    <t xml:space="preserve">Moskvorechie</t>
  </si>
  <si>
    <t xml:space="preserve">Ostrov</t>
  </si>
  <si>
    <t xml:space="preserve">Rustaveli14</t>
  </si>
  <si>
    <t xml:space="preserve">Дом Соболева</t>
  </si>
  <si>
    <t xml:space="preserve">SOKOLNIKI</t>
  </si>
  <si>
    <t xml:space="preserve">ЖК "Дзен-кварталы"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</si>
</sst>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2" width="13.85"/>
    <col collapsed="false" customWidth="true" hidden="false" outlineLevel="0" max="3" min="3" style="2" width="11.3"/>
    <col collapsed="false" customWidth="true" hidden="false" outlineLevel="0" max="4" min="4" style="2" width="14.45"/>
    <col collapsed="false" customWidth="true" hidden="false" outlineLevel="0" max="5" min="5" style="1" width="14.35"/>
    <col collapsed="false" customWidth="true" hidden="false" outlineLevel="0" max="6" min="6" style="1" width="13.63"/>
    <col collapsed="false" customWidth="true" hidden="false" outlineLevel="0" max="13" min="11" style="1" width="13.85"/>
    <col collapsed="false" customWidth="true" hidden="false" outlineLevel="0" max="17" min="17" style="1" width="12.15"/>
    <col collapsed="false" customWidth="true" hidden="false" outlineLevel="0" max="18" min="18" style="1" width="13.85"/>
  </cols>
  <sheetData>
    <row r="1" customFormat="false" ht="72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s="2" t="s">
        <v>30</v>
      </c>
      <c r="AF1" s="1" t="s">
        <v>31</v>
      </c>
      <c r="AG1" s="1" t="s">
        <v>32</v>
      </c>
    </row>
    <row r="2" customFormat="false" ht="12.8" hidden="false" customHeight="false" outlineLevel="0" collapsed="false">
      <c r="A2" s="1" t="s">
        <v>33</v>
      </c>
      <c r="B2" s="2" t="n">
        <v>347</v>
      </c>
      <c r="C2" s="2" t="n">
        <v>0</v>
      </c>
      <c r="D2" s="2" t="n">
        <v>2</v>
      </c>
      <c r="E2" s="1" t="n">
        <v>96</v>
      </c>
      <c r="F2" s="1" t="n">
        <v>173</v>
      </c>
      <c r="G2" s="1" t="n">
        <v>76</v>
      </c>
      <c r="H2" s="1" t="n">
        <v>5</v>
      </c>
      <c r="I2" s="1" t="n">
        <v>624</v>
      </c>
      <c r="J2" s="1" t="n">
        <v>552</v>
      </c>
      <c r="K2" s="1" t="n">
        <v>38</v>
      </c>
      <c r="L2" s="1" t="n">
        <v>6</v>
      </c>
      <c r="M2" s="5" t="n">
        <f aca="false">(J2+K2+L2)/B2</f>
        <v>1.71757925072046</v>
      </c>
      <c r="N2" s="1" t="n">
        <f aca="false">I2-J2</f>
        <v>72</v>
      </c>
      <c r="O2" s="1" t="n">
        <v>33004</v>
      </c>
      <c r="P2" s="1" t="n">
        <v>95.1</v>
      </c>
      <c r="Q2" s="1" t="n">
        <v>3.1</v>
      </c>
      <c r="R2" s="1" t="n">
        <v>4.5</v>
      </c>
      <c r="S2" s="1" t="n">
        <v>38</v>
      </c>
      <c r="T2" s="2" t="n">
        <v>38</v>
      </c>
      <c r="U2" s="1" t="n">
        <v>10</v>
      </c>
      <c r="V2" s="1" t="n">
        <v>4</v>
      </c>
      <c r="W2" s="2" t="n">
        <f aca="false">U2/V2</f>
        <v>2.5</v>
      </c>
      <c r="X2" s="1" t="n">
        <v>0</v>
      </c>
      <c r="Y2" s="1" t="n">
        <v>0</v>
      </c>
      <c r="Z2" s="1" t="n">
        <v>0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0</v>
      </c>
      <c r="AF2" s="1" t="n">
        <v>55.79304</v>
      </c>
      <c r="AG2" s="1" t="n">
        <v>37.542841</v>
      </c>
    </row>
    <row r="3" customFormat="false" ht="12.8" hidden="false" customHeight="false" outlineLevel="0" collapsed="false">
      <c r="A3" s="1" t="s">
        <v>34</v>
      </c>
      <c r="B3" s="2" t="n">
        <v>604</v>
      </c>
      <c r="C3" s="2" t="n">
        <v>0</v>
      </c>
      <c r="D3" s="2" t="n">
        <v>365</v>
      </c>
      <c r="E3" s="1" t="n">
        <v>202</v>
      </c>
      <c r="F3" s="1" t="n">
        <v>35</v>
      </c>
      <c r="G3" s="1" t="n">
        <v>2</v>
      </c>
      <c r="H3" s="1" t="n">
        <v>8</v>
      </c>
      <c r="I3" s="1" t="n">
        <v>296</v>
      </c>
      <c r="J3" s="1" t="n">
        <v>173</v>
      </c>
      <c r="K3" s="1" t="n">
        <v>25</v>
      </c>
      <c r="L3" s="1" t="n">
        <v>0</v>
      </c>
      <c r="M3" s="5" t="n">
        <f aca="false">(J3+K3+L3)/B3</f>
        <v>0.327814569536424</v>
      </c>
      <c r="N3" s="1" t="n">
        <f aca="false">I3-J3</f>
        <v>123</v>
      </c>
      <c r="O3" s="1" t="n">
        <v>26780</v>
      </c>
      <c r="P3" s="1" t="n">
        <v>44.5</v>
      </c>
      <c r="Q3" s="1" t="n">
        <v>2.76</v>
      </c>
      <c r="R3" s="1" t="n">
        <v>3.06</v>
      </c>
      <c r="S3" s="1" t="n">
        <v>30</v>
      </c>
      <c r="T3" s="2" t="n">
        <v>30</v>
      </c>
      <c r="U3" s="1" t="n">
        <v>12</v>
      </c>
      <c r="V3" s="1" t="n">
        <v>5</v>
      </c>
      <c r="W3" s="2" t="n">
        <f aca="false">U3/V3</f>
        <v>2.4</v>
      </c>
      <c r="X3" s="1" t="n">
        <v>1</v>
      </c>
      <c r="Y3" s="1" t="n">
        <v>1</v>
      </c>
      <c r="Z3" s="1" t="n">
        <v>0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0</v>
      </c>
      <c r="AF3" s="1" t="n">
        <v>55.645674</v>
      </c>
      <c r="AG3" s="6" t="n">
        <v>37.641503</v>
      </c>
    </row>
    <row r="4" customFormat="false" ht="12.8" hidden="false" customHeight="false" outlineLevel="0" collapsed="false">
      <c r="A4" s="1" t="s">
        <v>35</v>
      </c>
      <c r="B4" s="2" t="n">
        <v>479</v>
      </c>
      <c r="C4" s="2" t="n">
        <v>0</v>
      </c>
      <c r="D4" s="2" t="n">
        <v>95</v>
      </c>
      <c r="E4" s="1" t="n">
        <v>199</v>
      </c>
      <c r="F4" s="1" t="n">
        <v>122</v>
      </c>
      <c r="G4" s="1" t="n">
        <v>63</v>
      </c>
      <c r="H4" s="1" t="n">
        <v>3</v>
      </c>
      <c r="I4" s="1" t="n">
        <v>648</v>
      </c>
      <c r="J4" s="1" t="n">
        <v>388</v>
      </c>
      <c r="K4" s="1" t="n">
        <v>33</v>
      </c>
      <c r="L4" s="1" t="n">
        <v>0</v>
      </c>
      <c r="M4" s="5" t="n">
        <f aca="false">(J4+K4+L4)/B4</f>
        <v>0.878914405010438</v>
      </c>
      <c r="N4" s="1" t="n">
        <f aca="false">I4-J4</f>
        <v>260</v>
      </c>
      <c r="O4" s="1" t="n">
        <v>56721</v>
      </c>
      <c r="P4" s="1" t="n">
        <v>118.4</v>
      </c>
      <c r="Q4" s="1" t="n">
        <v>3.3</v>
      </c>
      <c r="R4" s="1" t="n">
        <v>4.75</v>
      </c>
      <c r="S4" s="1" t="n">
        <v>25</v>
      </c>
      <c r="T4" s="2" t="n">
        <v>25</v>
      </c>
      <c r="U4" s="1" t="n">
        <v>22</v>
      </c>
      <c r="V4" s="1" t="n">
        <v>9</v>
      </c>
      <c r="W4" s="2" t="n">
        <f aca="false">U4/V4</f>
        <v>2.44444444444444</v>
      </c>
      <c r="X4" s="1" t="n">
        <v>2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0</v>
      </c>
      <c r="AF4" s="1" t="n">
        <v>55.752009</v>
      </c>
      <c r="AG4" s="6" t="n">
        <v>37.452968</v>
      </c>
    </row>
    <row r="5" customFormat="false" ht="12.8" hidden="false" customHeight="false" outlineLevel="0" collapsed="false">
      <c r="A5" s="1" t="s">
        <v>36</v>
      </c>
      <c r="B5" s="2" t="n">
        <v>1331</v>
      </c>
      <c r="C5" s="2" t="n">
        <v>0</v>
      </c>
      <c r="D5" s="2" t="n">
        <v>852</v>
      </c>
      <c r="E5" s="1" t="n">
        <v>380</v>
      </c>
      <c r="F5" s="1" t="n">
        <v>99</v>
      </c>
      <c r="G5" s="1" t="n">
        <v>0</v>
      </c>
      <c r="H5" s="1" t="n">
        <v>13</v>
      </c>
      <c r="I5" s="7" t="n">
        <v>805</v>
      </c>
      <c r="J5" s="1" t="n">
        <v>517</v>
      </c>
      <c r="K5" s="1" t="n">
        <v>20</v>
      </c>
      <c r="L5" s="1" t="n">
        <v>0</v>
      </c>
      <c r="M5" s="5" t="n">
        <f aca="false">(J5+K5+L5)/B5</f>
        <v>0.403456048084147</v>
      </c>
      <c r="N5" s="1" t="n">
        <f aca="false">I5-J5</f>
        <v>288</v>
      </c>
      <c r="O5" s="1" t="n">
        <v>52653</v>
      </c>
      <c r="P5" s="1" t="n">
        <v>39</v>
      </c>
      <c r="Q5" s="1" t="n">
        <v>2.62</v>
      </c>
      <c r="R5" s="1" t="n">
        <v>2.62</v>
      </c>
      <c r="S5" s="1" t="n">
        <v>35</v>
      </c>
      <c r="T5" s="1" t="n">
        <v>35</v>
      </c>
      <c r="U5" s="1" t="n">
        <v>4</v>
      </c>
      <c r="V5" s="1" t="n">
        <v>4</v>
      </c>
      <c r="W5" s="2" t="n">
        <f aca="false">U5/V5</f>
        <v>1</v>
      </c>
      <c r="X5" s="1" t="n">
        <v>2</v>
      </c>
      <c r="Y5" s="1" t="n">
        <v>1</v>
      </c>
      <c r="Z5" s="1" t="n">
        <v>0</v>
      </c>
      <c r="AA5" s="1" t="n">
        <v>0</v>
      </c>
      <c r="AB5" s="1" t="n">
        <v>1</v>
      </c>
      <c r="AC5" s="1" t="n">
        <v>1</v>
      </c>
      <c r="AD5" s="1" t="n">
        <v>0</v>
      </c>
      <c r="AE5" s="1" t="n">
        <v>0</v>
      </c>
      <c r="AF5" s="1" t="n">
        <v>55.812115</v>
      </c>
      <c r="AG5" s="6" t="n">
        <v>37.597872</v>
      </c>
    </row>
    <row r="6" customFormat="false" ht="12.8" hidden="false" customHeight="false" outlineLevel="0" collapsed="false">
      <c r="A6" s="1" t="s">
        <v>37</v>
      </c>
      <c r="B6" s="2" t="n">
        <v>33</v>
      </c>
      <c r="C6" s="2" t="n">
        <v>0</v>
      </c>
      <c r="D6" s="2" t="n">
        <v>0</v>
      </c>
      <c r="E6" s="1" t="n">
        <v>9</v>
      </c>
      <c r="F6" s="1" t="n">
        <v>12</v>
      </c>
      <c r="G6" s="1" t="n">
        <v>12</v>
      </c>
      <c r="H6" s="1" t="n">
        <v>2</v>
      </c>
      <c r="I6" s="1" t="n">
        <v>10</v>
      </c>
      <c r="J6" s="1" t="n">
        <v>0</v>
      </c>
      <c r="K6" s="1" t="n">
        <v>0</v>
      </c>
      <c r="L6" s="1" t="n">
        <v>0</v>
      </c>
      <c r="M6" s="5" t="n">
        <f aca="false">(J6+K6+L6)/B6</f>
        <v>0</v>
      </c>
      <c r="N6" s="1" t="n">
        <f aca="false">I6-J6</f>
        <v>10</v>
      </c>
      <c r="O6" s="1" t="n">
        <f aca="false">33 * 146</f>
        <v>4818</v>
      </c>
      <c r="P6" s="1" t="n">
        <v>146</v>
      </c>
      <c r="Q6" s="1" t="n">
        <v>3.5</v>
      </c>
      <c r="R6" s="1" t="n">
        <v>3.95</v>
      </c>
      <c r="S6" s="1" t="n">
        <v>10</v>
      </c>
      <c r="T6" s="1" t="n">
        <v>10</v>
      </c>
      <c r="U6" s="1" t="n">
        <v>6</v>
      </c>
      <c r="V6" s="1" t="n">
        <v>2</v>
      </c>
      <c r="W6" s="2" t="n">
        <f aca="false">U6/V6</f>
        <v>3</v>
      </c>
      <c r="X6" s="1" t="n">
        <v>0</v>
      </c>
      <c r="Y6" s="1" t="n">
        <v>0</v>
      </c>
      <c r="Z6" s="1" t="n">
        <v>0</v>
      </c>
      <c r="AA6" s="1" t="n">
        <v>1</v>
      </c>
      <c r="AB6" s="1" t="n">
        <v>1</v>
      </c>
      <c r="AC6" s="1" t="n">
        <v>0</v>
      </c>
      <c r="AD6" s="1" t="n">
        <v>0</v>
      </c>
      <c r="AE6" s="1" t="n">
        <v>2</v>
      </c>
      <c r="AF6" s="1" t="n">
        <v>55.764016</v>
      </c>
      <c r="AG6" s="6" t="n">
        <v>37.652657</v>
      </c>
    </row>
    <row r="7" customFormat="false" ht="12.8" hidden="false" customHeight="false" outlineLevel="0" collapsed="false">
      <c r="A7" s="1" t="s">
        <v>38</v>
      </c>
      <c r="B7" s="2" t="n">
        <v>763</v>
      </c>
      <c r="C7" s="2" t="n">
        <v>0</v>
      </c>
      <c r="D7" s="2" t="n">
        <v>325</v>
      </c>
      <c r="E7" s="1" t="n">
        <v>229</v>
      </c>
      <c r="F7" s="1" t="n">
        <v>181</v>
      </c>
      <c r="G7" s="1" t="n">
        <v>28</v>
      </c>
      <c r="H7" s="1" t="n">
        <v>9</v>
      </c>
      <c r="I7" s="1" t="n">
        <v>986</v>
      </c>
      <c r="J7" s="1" t="n">
        <v>313</v>
      </c>
      <c r="K7" s="1" t="n">
        <v>85</v>
      </c>
      <c r="L7" s="1" t="n">
        <v>0</v>
      </c>
      <c r="M7" s="5" t="n">
        <f aca="false">(J7+K7+L7)/B7</f>
        <v>0.521625163826999</v>
      </c>
      <c r="N7" s="1" t="n">
        <f aca="false">I7-J7</f>
        <v>673</v>
      </c>
      <c r="O7" s="1" t="n">
        <v>45984</v>
      </c>
      <c r="P7" s="1" t="n">
        <v>60.3</v>
      </c>
      <c r="Q7" s="1" t="n">
        <v>3</v>
      </c>
      <c r="R7" s="1" t="n">
        <v>3</v>
      </c>
      <c r="S7" s="1" t="n">
        <v>36</v>
      </c>
      <c r="T7" s="1" t="n">
        <v>36</v>
      </c>
      <c r="U7" s="1" t="n">
        <v>16</v>
      </c>
      <c r="V7" s="1" t="n">
        <v>3</v>
      </c>
      <c r="W7" s="2" t="n">
        <f aca="false">U7/V7</f>
        <v>5.33333333333333</v>
      </c>
      <c r="X7" s="1" t="n">
        <v>3</v>
      </c>
      <c r="Y7" s="1" t="n">
        <v>2</v>
      </c>
      <c r="Z7" s="1" t="n">
        <v>0</v>
      </c>
      <c r="AA7" s="1" t="n">
        <v>1</v>
      </c>
      <c r="AB7" s="1" t="n">
        <v>2</v>
      </c>
      <c r="AC7" s="1" t="n">
        <v>1</v>
      </c>
      <c r="AD7" s="1" t="n">
        <v>0</v>
      </c>
      <c r="AE7" s="1" t="n">
        <v>0</v>
      </c>
      <c r="AF7" s="1" t="n">
        <v>55.782995</v>
      </c>
      <c r="AG7" s="6" t="n">
        <v>37.690437</v>
      </c>
    </row>
    <row r="8" customFormat="false" ht="23.85" hidden="false" customHeight="false" outlineLevel="0" collapsed="false">
      <c r="A8" s="8" t="s">
        <v>39</v>
      </c>
      <c r="B8" s="2" t="n">
        <v>382</v>
      </c>
      <c r="C8" s="2" t="n">
        <v>0</v>
      </c>
      <c r="D8" s="2" t="n">
        <v>43</v>
      </c>
      <c r="E8" s="1" t="n">
        <v>193</v>
      </c>
      <c r="F8" s="1" t="n">
        <v>115</v>
      </c>
      <c r="G8" s="0" t="n">
        <v>31</v>
      </c>
      <c r="H8" s="0" t="n">
        <v>5</v>
      </c>
      <c r="I8" s="0" t="n">
        <v>231</v>
      </c>
      <c r="J8" s="0" t="n">
        <v>198</v>
      </c>
      <c r="K8" s="1" t="n">
        <v>18</v>
      </c>
      <c r="L8" s="1" t="n">
        <v>0</v>
      </c>
      <c r="M8" s="5" t="n">
        <f aca="false">(J8+K8+L8)/B8</f>
        <v>0.565445026178011</v>
      </c>
      <c r="O8" s="0" t="n">
        <v>26326</v>
      </c>
      <c r="P8" s="0" t="n">
        <v>68.9</v>
      </c>
      <c r="Q8" s="1" t="n">
        <v>3.1</v>
      </c>
      <c r="R8" s="1" t="n">
        <v>3.4</v>
      </c>
      <c r="S8" s="0" t="n">
        <v>8</v>
      </c>
      <c r="T8" s="0" t="n">
        <v>22</v>
      </c>
      <c r="U8" s="0" t="n">
        <v>13</v>
      </c>
      <c r="V8" s="0" t="n">
        <v>8</v>
      </c>
      <c r="W8" s="2" t="n">
        <f aca="false">U8/V8</f>
        <v>1.625</v>
      </c>
      <c r="X8" s="0" t="n">
        <v>2</v>
      </c>
      <c r="Y8" s="0" t="n">
        <v>1</v>
      </c>
      <c r="Z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  <c r="AF8" s="0" t="n">
        <v>55.551201</v>
      </c>
      <c r="AG8" s="9" t="n">
        <v>37.476384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2026-02-21T15:11:34Z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