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<sst xmlns="http://schemas.openxmlformats.org/spreadsheetml/2006/main" count="36" uniqueCount="36">
  <si>
    <t xml:space="preserve">name</t>
  </si>
  <si>
    <t xml:space="preserve">all_amount</t>
  </si>
  <si>
    <t xml:space="preserve">studio_amount</t>
  </si>
  <si>
    <t xml:space="preserve">1_room_amount</t>
  </si>
  <si>
    <t xml:space="preserve">2_room_amount</t>
  </si>
  <si>
    <t xml:space="preserve">3_room_amount</t>
  </si>
  <si>
    <t xml:space="preserve">4+_room_amount</t>
  </si>
  <si>
    <t xml:space="preserve">avg_flats_on_floor</t>
  </si>
  <si>
    <t xml:space="preserve">not_living_amount</t>
  </si>
  <si>
    <t xml:space="preserve">places_for_cars_in_parking</t>
  </si>
  <si>
    <t xml:space="preserve">guest_places_for_cars_on_territory</t>
  </si>
  <si>
    <t xml:space="preserve">guest_places_for_cars_near_territory</t>
  </si>
  <si>
    <t xml:space="preserve">percent_of_parking</t>
  </si>
  <si>
    <t xml:space="preserve">amount_other_not_living</t>
  </si>
  <si>
    <t xml:space="preserve">living_area_m2</t>
  </si>
  <si>
    <t xml:space="preserve">avg_living_area_m2</t>
  </si>
  <si>
    <t xml:space="preserve">min_ceiling_height</t>
  </si>
  <si>
    <t xml:space="preserve">max_ceiling_height</t>
  </si>
  <si>
    <t xml:space="preserve">min_floors</t>
  </si>
  <si>
    <t xml:space="preserve">max_floors</t>
  </si>
  <si>
    <t xml:space="preserve">elevators_amount</t>
  </si>
  <si>
    <t xml:space="preserve">entrances_amount</t>
  </si>
  <si>
    <t xml:space="preserve">elevators_on_entracne</t>
  </si>
  <si>
    <t xml:space="preserve">children_playing_zone_amount</t>
  </si>
  <si>
    <t xml:space="preserve">sports_amount</t>
  </si>
  <si>
    <t xml:space="preserve">bicycle_is</t>
  </si>
  <si>
    <t xml:space="preserve">sidewalk_amount</t>
  </si>
  <si>
    <t xml:space="preserve">garbage_area_amount</t>
  </si>
  <si>
    <t xml:space="preserve">step_down_platforms_is</t>
  </si>
  <si>
    <t xml:space="preserve">is_pandus</t>
  </si>
  <si>
    <t xml:space="preserve">wheelchair_lift_amount</t>
  </si>
  <si>
    <t xml:space="preserve">latitude</t>
  </si>
  <si>
    <t xml:space="preserve">longitude</t>
  </si>
  <si>
    <t xml:space="preserve">Prime Park</t>
  </si>
  <si>
    <t xml:space="preserve">Moskvorechie</t>
  </si>
  <si>
    <t xml:space="preserve">Ostrov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</si>
</sst>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5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selection pane="topLeft" activeCell="AF2" activeCellId="0" sqref="AF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1" width="13.85"/>
    <col collapsed="false" customWidth="true" hidden="false" outlineLevel="0" max="3" min="3" style="1" width="11.3"/>
    <col collapsed="false" customWidth="true" hidden="false" outlineLevel="0" max="4" min="4" style="1" width="14.45"/>
    <col collapsed="false" customWidth="true" hidden="false" outlineLevel="0" max="5" min="5" style="0" width="14.35"/>
    <col collapsed="false" customWidth="true" hidden="false" outlineLevel="0" max="6" min="6" style="0" width="13.63"/>
    <col collapsed="false" customWidth="true" hidden="false" outlineLevel="0" max="13" min="11" style="0" width="13.85"/>
    <col collapsed="false" customWidth="true" hidden="false" outlineLevel="0" max="17" min="17" style="0" width="12.15"/>
    <col collapsed="false" customWidth="true" hidden="false" outlineLevel="0" max="18" min="18" style="0" width="13.85"/>
  </cols>
  <sheetData>
    <row r="1" customFormat="false" ht="72" hidden="false" customHeight="true" outlineLevel="0" collapsed="false">
      <c r="A1" s="0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5" t="s">
        <v>27</v>
      </c>
      <c r="AC1" s="5" t="s">
        <v>28</v>
      </c>
      <c r="AD1" s="5" t="s">
        <v>29</v>
      </c>
      <c r="AE1" s="1" t="s">
        <v>30</v>
      </c>
      <c r="AF1" s="0" t="s">
        <v>31</v>
      </c>
      <c r="AG1" s="0" t="s">
        <v>32</v>
      </c>
    </row>
    <row r="2" customFormat="false" ht="12.8" hidden="false" customHeight="false" outlineLevel="0" collapsed="false">
      <c r="A2" s="0" t="s">
        <v>33</v>
      </c>
      <c r="B2" s="1" t="n">
        <v>347</v>
      </c>
      <c r="C2" s="1" t="n">
        <v>0</v>
      </c>
      <c r="D2" s="1" t="n">
        <v>2</v>
      </c>
      <c r="E2" s="0" t="n">
        <v>96</v>
      </c>
      <c r="F2" s="0" t="n">
        <v>173</v>
      </c>
      <c r="G2" s="0" t="n">
        <v>76</v>
      </c>
      <c r="H2" s="0" t="n">
        <v>5</v>
      </c>
      <c r="I2" s="0" t="n">
        <v>624</v>
      </c>
      <c r="J2" s="0" t="n">
        <v>552</v>
      </c>
      <c r="K2" s="0" t="n">
        <v>38</v>
      </c>
      <c r="L2" s="0" t="n">
        <v>6</v>
      </c>
      <c r="M2" s="6" t="n">
        <f aca="false">(J2+K2+L2)/B2</f>
        <v>1.71757925072046</v>
      </c>
      <c r="N2" s="0" t="n">
        <f aca="false">I2-J2</f>
        <v>72</v>
      </c>
      <c r="O2" s="0" t="n">
        <v>33004</v>
      </c>
      <c r="P2" s="0" t="n">
        <v>95.1</v>
      </c>
      <c r="Q2" s="0" t="n">
        <v>3.1</v>
      </c>
      <c r="R2" s="0" t="n">
        <v>4.5</v>
      </c>
      <c r="S2" s="0" t="n">
        <v>38</v>
      </c>
      <c r="T2" s="1" t="n">
        <v>38</v>
      </c>
      <c r="U2" s="0" t="n">
        <v>10</v>
      </c>
      <c r="V2" s="0" t="n">
        <v>4</v>
      </c>
      <c r="W2" s="1" t="n">
        <f aca="false">U2/V2</f>
        <v>2.5</v>
      </c>
      <c r="X2" s="0" t="n">
        <v>0</v>
      </c>
      <c r="Y2" s="0" t="n">
        <v>0</v>
      </c>
      <c r="Z2" s="0" t="n">
        <v>0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0</v>
      </c>
      <c r="AF2" s="0" t="n">
        <v>55.79304</v>
      </c>
      <c r="AG2" s="0" t="n">
        <v>37.542841</v>
      </c>
    </row>
    <row r="3" customFormat="false" ht="12.8" hidden="false" customHeight="false" outlineLevel="0" collapsed="false">
      <c r="A3" s="0" t="s">
        <v>34</v>
      </c>
      <c r="B3" s="1" t="n">
        <v>604</v>
      </c>
      <c r="C3" s="1" t="n">
        <v>0</v>
      </c>
      <c r="D3" s="1" t="n">
        <v>365</v>
      </c>
      <c r="E3" s="0" t="n">
        <v>202</v>
      </c>
      <c r="F3" s="0" t="n">
        <v>35</v>
      </c>
      <c r="G3" s="0" t="n">
        <v>2</v>
      </c>
      <c r="H3" s="0" t="n">
        <v>8</v>
      </c>
      <c r="I3" s="0" t="n">
        <v>296</v>
      </c>
      <c r="J3" s="0" t="n">
        <v>173</v>
      </c>
      <c r="K3" s="0" t="n">
        <v>25</v>
      </c>
      <c r="L3" s="0" t="n">
        <v>0</v>
      </c>
      <c r="M3" s="6" t="n">
        <f aca="false">(J3+K3+L3)/B3</f>
        <v>0.327814569536424</v>
      </c>
      <c r="N3" s="0" t="n">
        <f aca="false">I3-J3</f>
        <v>123</v>
      </c>
      <c r="O3" s="0" t="n">
        <v>26780</v>
      </c>
      <c r="P3" s="0" t="n">
        <v>44.5</v>
      </c>
      <c r="Q3" s="0" t="n">
        <v>2.76</v>
      </c>
      <c r="R3" s="0" t="n">
        <v>3.06</v>
      </c>
      <c r="S3" s="0" t="n">
        <v>30</v>
      </c>
      <c r="T3" s="1" t="n">
        <v>30</v>
      </c>
      <c r="U3" s="0" t="n">
        <v>12</v>
      </c>
      <c r="V3" s="0" t="n">
        <v>5</v>
      </c>
      <c r="W3" s="1" t="n">
        <f aca="false">U3/V3</f>
        <v>2.4</v>
      </c>
      <c r="X3" s="0" t="n">
        <v>1</v>
      </c>
      <c r="Y3" s="0" t="n">
        <v>1</v>
      </c>
      <c r="Z3" s="0" t="n">
        <v>0</v>
      </c>
      <c r="AA3" s="0" t="n">
        <v>1</v>
      </c>
      <c r="AB3" s="0" t="n">
        <v>1</v>
      </c>
      <c r="AC3" s="0" t="n">
        <v>1</v>
      </c>
      <c r="AD3" s="0" t="n">
        <v>1</v>
      </c>
      <c r="AE3" s="0" t="n">
        <v>0</v>
      </c>
      <c r="AF3" s="0" t="n">
        <v>55.645674</v>
      </c>
      <c r="AG3" s="7" t="n">
        <v>37.641503</v>
      </c>
    </row>
    <row r="4" customFormat="false" ht="12.8" hidden="false" customHeight="false" outlineLevel="0" collapsed="false">
      <c r="A4" s="0" t="s">
        <v>35</v>
      </c>
      <c r="B4" s="1" t="n">
        <v>479</v>
      </c>
      <c r="C4" s="1" t="n">
        <v>0</v>
      </c>
      <c r="D4" s="1" t="n">
        <v>95</v>
      </c>
      <c r="E4" s="0" t="n">
        <v>199</v>
      </c>
      <c r="F4" s="0" t="n">
        <v>122</v>
      </c>
      <c r="G4" s="0" t="n">
        <v>63</v>
      </c>
      <c r="H4" s="0" t="n">
        <v>3</v>
      </c>
      <c r="I4" s="0" t="n">
        <v>648</v>
      </c>
      <c r="J4" s="0" t="n">
        <v>388</v>
      </c>
      <c r="K4" s="0" t="n">
        <v>33</v>
      </c>
      <c r="L4" s="0" t="n">
        <v>0</v>
      </c>
      <c r="M4" s="6" t="n">
        <f aca="false">(J4+K4+L4)/B4</f>
        <v>0.878914405010438</v>
      </c>
      <c r="N4" s="0" t="n">
        <f aca="false">I4-J4</f>
        <v>260</v>
      </c>
      <c r="O4" s="0" t="n">
        <v>56721</v>
      </c>
      <c r="P4" s="0" t="n">
        <v>118.4</v>
      </c>
      <c r="Q4" s="0" t="n">
        <v>3.3</v>
      </c>
      <c r="R4" s="0" t="n">
        <v>4.75</v>
      </c>
      <c r="S4" s="0" t="n">
        <v>25</v>
      </c>
      <c r="T4" s="1" t="n">
        <v>25</v>
      </c>
      <c r="U4" s="0" t="n">
        <v>22</v>
      </c>
      <c r="V4" s="0" t="n">
        <v>9</v>
      </c>
      <c r="W4" s="1" t="n">
        <f aca="false">U4/V4</f>
        <v>2.44444444444444</v>
      </c>
      <c r="X4" s="0" t="n">
        <v>2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</v>
      </c>
      <c r="AD4" s="0" t="n">
        <v>1</v>
      </c>
      <c r="AE4" s="0" t="n">
        <v>0</v>
      </c>
      <c r="AF4" s="0" t="n">
        <v>55.752009</v>
      </c>
      <c r="AG4" s="7" t="n">
        <v>37.452968</v>
      </c>
    </row>
    <row r="5" customFormat="false" ht="12.8" hidden="false" customHeight="false" outlineLevel="0" collapsed="false">
      <c r="I5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2025-11-02T11:52:13Z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